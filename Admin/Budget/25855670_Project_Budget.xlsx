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rk000-my.sharepoint.com/personal/adrian_stark_adeptstark_com/Documents/Engineering/4thYear/MechatronicProject488/Components/"/>
    </mc:Choice>
  </mc:AlternateContent>
  <xr:revisionPtr revIDLastSave="151" documentId="8_{9F056615-DD56-425C-A535-8C356DD98632}" xr6:coauthVersionLast="47" xr6:coauthVersionMax="47" xr10:uidLastSave="{B40AEDA9-8E3A-4DC4-B0A6-17711A8FB836}"/>
  <bookViews>
    <workbookView xWindow="-108" yWindow="-108" windowWidth="23256" windowHeight="13896" xr2:uid="{6BD1E585-D910-4DA1-BA9A-0CF257EAF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D3" i="1"/>
  <c r="E3" i="1" s="1"/>
  <c r="D4" i="1"/>
  <c r="E4" i="1" s="1"/>
  <c r="F3" i="1" l="1"/>
</calcChain>
</file>

<file path=xl/sharedStrings.xml><?xml version="1.0" encoding="utf-8"?>
<sst xmlns="http://schemas.openxmlformats.org/spreadsheetml/2006/main" count="25" uniqueCount="25">
  <si>
    <t>Quantity</t>
  </si>
  <si>
    <t>Component</t>
  </si>
  <si>
    <t>Link</t>
  </si>
  <si>
    <t>2WD Robot Base</t>
  </si>
  <si>
    <t>Camera</t>
  </si>
  <si>
    <t>https://www.diyelectronics.co.za/store/robotics-kits/1155-2-wheel-drive-arduino-diy-robot-chassis-and-electronics-kit.html</t>
  </si>
  <si>
    <t>https://www.diyelectronics.co.za/store/bluetooth/56-hc-06-bluetooth-to-serial-module-arduino-compatible.html</t>
  </si>
  <si>
    <t>https://www.communica.co.za/products/bmt-wheel-speed-encoder-sensor?variant=51744251609388&amp;sfdr_ptcid=31591_617_748275768&amp;sfdr_hash=3b6575cff54277460852ef98785c5eac&amp;utm_source=www.communica.co.za&amp;gad_source=1&amp;gad_campaignid=22552818411&amp;gbraid=0AAAAADLTnIYUeVA2aUFMKF7xRc9YB0Bw9&amp;gclid=CjwKCAjw1tLOBhAMEiwAiPkRHnhzQq9Ewpx2NSBe97RjtWQpbHvgYNVuYnB1C4ISWXZ2G4gta77mwxoC-a0QAvD_BwE</t>
  </si>
  <si>
    <t>Total</t>
  </si>
  <si>
    <t>https://www.robotics.org.za/W14122</t>
  </si>
  <si>
    <t>https://www.robotics.org.za/955565</t>
  </si>
  <si>
    <t>https://www.diyelectronics.co.za/store/battery-chargers/437-imax-b6-lipo-battery-charger.html?utm_campaign=google_shopping&amp;utm_source=cpc&amp;utm_medium=evergreen&amp;utm_content=20485427402&amp;gad_source=1&amp;gad_campaignid=20489613595&amp;gbraid=0AAAAADpm0I_EQtfq_vzH0i1c5hPAQ39MR&amp;gclid=CjwKCAjwwJzPBhBREiwAJfHRnWZko2VRJ-bSrDJ4ranhwVFrlod-A7-pdCsbagin7H-1Esa6qwzm2BoCtwcQAvD_BwE</t>
  </si>
  <si>
    <t>Price/Unit (excl. VAT)</t>
  </si>
  <si>
    <t>Bluetooth receiver</t>
  </si>
  <si>
    <t>Wheel encoder</t>
  </si>
  <si>
    <t>Li-Po batteries</t>
  </si>
  <si>
    <t>Li-Po charger</t>
  </si>
  <si>
    <t>USB extensions (1.5m)</t>
  </si>
  <si>
    <t>Skripsie budget</t>
  </si>
  <si>
    <t>Component total</t>
  </si>
  <si>
    <t>JST-XH 2.54mm connector kit</t>
  </si>
  <si>
    <t>12V 5A AC adapter</t>
  </si>
  <si>
    <t>TT motor and wheel kit</t>
  </si>
  <si>
    <t>Printing and laminating</t>
  </si>
  <si>
    <t>22AWG 5-way wire (5m)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</si>
</sst>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8" formatCode="&quot;R&quot;#,##0.00;[Red]\-&quot;R&quot;#,##0.00"/>
    <numFmt numFmtId="164" formatCode="&quot;R&quot;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" fillId="0" borderId="0" xfId="1"/>
    <xf numFmtId="8" fontId="0" fillId="0" borderId="0" xfId="0" applyNumberFormat="1"/>
    <xf numFmtId="6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mmunica.co.za/products/bmt-wheel-speed-encoder-sensor?variant=51744251609388&amp;sfdr_ptcid=31591_617_748275768&amp;sfdr_hash=3b6575cff54277460852ef98785c5eac&amp;utm_source=www.communica.co.za&amp;gad_source=1&amp;gad_campaignid=22552818411&amp;gbraid=0AAAAADLTnIYUeVA2aUFMKF7xRc9YB0Bw9&amp;gclid=CjwKCAjw1tLOBhAMEiwAiPkRHnhzQq9Ewpx2NSBe97RjtWQpbHvgYNVuYnB1C4ISWXZ2G4gta77mwxoC-a0QAvD_BwE" TargetMode="External"/><Relationship Id="rId2" Type="http://schemas.openxmlformats.org/officeDocument/2006/relationships/hyperlink" Target="https://www.diyelectronics.co.za/store/bluetooth/56-hc-06-bluetooth-to-serial-module-arduino-compatible.html" TargetMode="External"/><Relationship Id="rId1" Type="http://schemas.openxmlformats.org/officeDocument/2006/relationships/hyperlink" Target="https://www.diyelectronics.co.za/store/robotics-kits/1155-2-wheel-drive-arduino-diy-robot-chassis-and-electronics-kit.html" TargetMode="External"/><Relationship Id="rId6" Type="http://schemas.openxmlformats.org/officeDocument/2006/relationships/hyperlink" Target="https://www.diyelectronics.co.za/store/battery-chargers/437-imax-b6-lipo-battery-charger.html?utm_campaign=google_shopping&amp;utm_source=cpc&amp;utm_medium=evergreen&amp;utm_content=20485427402&amp;gad_source=1&amp;gad_campaignid=20489613595&amp;gbraid=0AAAAADpm0I_EQtfq_vzH0i1c5hPAQ39MR&amp;gclid=CjwKCAjwwJzPBhBREiwAJfHRnWZko2VRJ-bSrDJ4ranhwVFrlod-A7-pdCsbagin7H-1Esa6qwzm2BoCtwcQAvD_BwE" TargetMode="External"/><Relationship Id="rId5" Type="http://schemas.openxmlformats.org/officeDocument/2006/relationships/hyperlink" Target="https://www.robotics.org.za/955565" TargetMode="External"/><Relationship Id="rId4" Type="http://schemas.openxmlformats.org/officeDocument/2006/relationships/hyperlink" Target="https://www.robotics.org.za/W14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42CD-BF6A-442B-8FAF-5BC325120CFB}">
  <dimension ref="A1:F14"/>
  <sheetViews>
    <sheetView tabSelected="1" zoomScale="115" zoomScaleNormal="115" workbookViewId="0">
      <selection activeCell="H13" sqref="H13"/>
    </sheetView>
  </sheetViews>
  <sheetFormatPr defaultRowHeight="14.4" x14ac:dyDescent="0.3"/>
  <cols>
    <col min="2" max="2" width="24.88671875" bestFit="1" customWidth="1"/>
    <col min="3" max="3" width="106.88671875" hidden="1" customWidth="1"/>
    <col min="4" max="4" width="18" bestFit="1" customWidth="1"/>
    <col min="5" max="5" width="15" bestFit="1" customWidth="1"/>
    <col min="6" max="6" width="9.33203125" bestFit="1" customWidth="1"/>
  </cols>
  <sheetData>
    <row r="1" spans="1:6" x14ac:dyDescent="0.3">
      <c r="A1" s="5" t="s">
        <v>18</v>
      </c>
      <c r="B1" s="5"/>
      <c r="C1" s="5"/>
      <c r="D1" s="5"/>
      <c r="E1" s="5"/>
      <c r="F1" s="5"/>
    </row>
    <row r="2" spans="1:6" x14ac:dyDescent="0.3">
      <c r="A2" t="s">
        <v>0</v>
      </c>
      <c r="B2" t="s">
        <v>1</v>
      </c>
      <c r="C2" t="s">
        <v>2</v>
      </c>
      <c r="D2" t="s">
        <v>12</v>
      </c>
      <c r="E2" t="s">
        <v>19</v>
      </c>
      <c r="F2" t="s">
        <v>8</v>
      </c>
    </row>
    <row r="3" spans="1:6" x14ac:dyDescent="0.3">
      <c r="A3">
        <v>3</v>
      </c>
      <c r="B3" t="s">
        <v>3</v>
      </c>
      <c r="C3" s="2" t="s">
        <v>5</v>
      </c>
      <c r="D3" s="1">
        <f>489/1.15</f>
        <v>425.21739130434787</v>
      </c>
      <c r="E3" s="1">
        <f>D3*A3</f>
        <v>1275.6521739130435</v>
      </c>
      <c r="F3" s="1">
        <f>SUM(E3:E16)</f>
        <v>5020.4834782608696</v>
      </c>
    </row>
    <row r="4" spans="1:6" x14ac:dyDescent="0.3">
      <c r="A4">
        <v>3</v>
      </c>
      <c r="B4" t="s">
        <v>13</v>
      </c>
      <c r="C4" s="2" t="s">
        <v>6</v>
      </c>
      <c r="D4" s="1">
        <f>114/1.15</f>
        <v>99.130434782608702</v>
      </c>
      <c r="E4" s="1">
        <f>D4*A4</f>
        <v>297.39130434782612</v>
      </c>
      <c r="F4" s="1"/>
    </row>
    <row r="5" spans="1:6" x14ac:dyDescent="0.3">
      <c r="A5">
        <v>6</v>
      </c>
      <c r="B5" t="s">
        <v>14</v>
      </c>
      <c r="C5" s="2" t="s">
        <v>7</v>
      </c>
      <c r="D5" s="1">
        <v>21.74</v>
      </c>
      <c r="E5" s="1">
        <f>D5*A5</f>
        <v>130.44</v>
      </c>
      <c r="F5" s="1"/>
    </row>
    <row r="6" spans="1:6" x14ac:dyDescent="0.3">
      <c r="A6">
        <v>1</v>
      </c>
      <c r="B6" t="s">
        <v>4</v>
      </c>
      <c r="C6" s="2" t="s">
        <v>9</v>
      </c>
      <c r="D6" s="1">
        <v>798</v>
      </c>
      <c r="E6" s="1">
        <f>D6*A6</f>
        <v>798</v>
      </c>
      <c r="F6" s="1"/>
    </row>
    <row r="7" spans="1:6" x14ac:dyDescent="0.3">
      <c r="A7">
        <v>9</v>
      </c>
      <c r="B7" t="s">
        <v>15</v>
      </c>
      <c r="C7" s="2" t="s">
        <v>10</v>
      </c>
      <c r="D7" s="3">
        <v>128</v>
      </c>
      <c r="E7" s="1">
        <f>D7*A7</f>
        <v>1152</v>
      </c>
    </row>
    <row r="8" spans="1:6" x14ac:dyDescent="0.3">
      <c r="A8">
        <v>2</v>
      </c>
      <c r="B8" t="s">
        <v>16</v>
      </c>
      <c r="C8" s="2" t="s">
        <v>11</v>
      </c>
      <c r="D8" s="4">
        <v>404</v>
      </c>
      <c r="E8" s="1">
        <f>D8*A8</f>
        <v>808</v>
      </c>
    </row>
    <row r="9" spans="1:6" x14ac:dyDescent="0.3">
      <c r="A9">
        <v>2</v>
      </c>
      <c r="B9" t="s">
        <v>17</v>
      </c>
      <c r="D9" s="1">
        <v>29</v>
      </c>
      <c r="E9" s="1">
        <f>D9*A9</f>
        <v>58</v>
      </c>
    </row>
    <row r="10" spans="1:6" x14ac:dyDescent="0.3">
      <c r="A10">
        <v>1</v>
      </c>
      <c r="B10" t="s">
        <v>20</v>
      </c>
      <c r="D10" s="1">
        <v>58</v>
      </c>
      <c r="E10" s="1">
        <f>D10*A10</f>
        <v>58</v>
      </c>
    </row>
    <row r="11" spans="1:6" x14ac:dyDescent="0.3">
      <c r="A11">
        <v>1</v>
      </c>
      <c r="B11" t="s">
        <v>21</v>
      </c>
      <c r="D11" s="1">
        <v>146</v>
      </c>
      <c r="E11" s="1">
        <f>D11*A11</f>
        <v>146</v>
      </c>
    </row>
    <row r="12" spans="1:6" x14ac:dyDescent="0.3">
      <c r="A12">
        <v>1</v>
      </c>
      <c r="B12" t="s">
        <v>24</v>
      </c>
      <c r="D12" s="1">
        <v>59</v>
      </c>
      <c r="E12" s="1">
        <f>D12*A12</f>
        <v>59</v>
      </c>
    </row>
    <row r="13" spans="1:6" x14ac:dyDescent="0.3">
      <c r="A13">
        <v>3</v>
      </c>
      <c r="B13" t="s">
        <v>22</v>
      </c>
      <c r="D13" s="1">
        <v>38</v>
      </c>
      <c r="E13" s="1">
        <f>D13*A13</f>
        <v>114</v>
      </c>
    </row>
    <row r="14" spans="1:6" x14ac:dyDescent="0.3">
      <c r="A14">
        <v>1</v>
      </c>
      <c r="B14" t="s">
        <v>23</v>
      </c>
      <c r="D14" s="1">
        <v>124</v>
      </c>
      <c r="E14" s="1">
        <f>D14*A14</f>
        <v>124</v>
      </c>
    </row>
  </sheetData>
  <mergeCells count="1">
    <mergeCell ref="A1:F1"/>
  </mergeCells>
  <hyperlinks>
    <hyperlink ref="C3" r:id="rId1" xr:uid="{4ECCBD37-7A27-4D01-8C6E-2759C8C1129F}"/>
    <hyperlink ref="C4" r:id="rId2" xr:uid="{2BF76B16-CFB2-4B4B-B741-90C0354A9D62}"/>
    <hyperlink ref="C5" r:id="rId3" display="https://www.communica.co.za/products/bmt-wheel-speed-encoder-sensor?variant=51744251609388&amp;sfdr_ptcid=31591_617_748275768&amp;sfdr_hash=3b6575cff54277460852ef98785c5eac&amp;utm_source=www.communica.co.za&amp;gad_source=1&amp;gad_campaignid=22552818411&amp;gbraid=0AAAAADLTnIYUeVA2aUFMKF7xRc9YB0Bw9&amp;gclid=CjwKCAjw1tLOBhAMEiwAiPkRHnhzQq9Ewpx2NSBe97RjtWQpbHvgYNVuYnB1C4ISWXZ2G4gta77mwxoC-a0QAvD_BwE" xr:uid="{803BFFCD-F9A6-462C-8943-797D2D73948F}"/>
    <hyperlink ref="C6" r:id="rId4" xr:uid="{939A3663-FA63-4D23-B177-73CC0F576DCA}"/>
    <hyperlink ref="C7" r:id="rId5" xr:uid="{9B580457-3243-401B-A56A-9DFD9622B927}"/>
    <hyperlink ref="C8" r:id="rId6" display="https://www.diyelectronics.co.za/store/battery-chargers/437-imax-b6-lipo-battery-charger.html?utm_campaign=google_shopping&amp;utm_source=cpc&amp;utm_medium=evergreen&amp;utm_content=20485427402&amp;gad_source=1&amp;gad_campaignid=20489613595&amp;gbraid=0AAAAADpm0I_EQtfq_vzH0i1c5hPAQ39MR&amp;gclid=CjwKCAjwwJzPBhBREiwAJfHRnWZko2VRJ-bSrDJ4ranhwVFrlod-A7-pdCsbagin7H-1Esa6qwzm2BoCtwcQAvD_BwE" xr:uid="{AE0B0847-46DE-4389-B55F-FE10CF8D06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Stark, A [25855670@sun.ac.za]</dc:creator>
  <cp:lastModifiedBy>Adrian Stark</cp:lastModifiedBy>
  <dcterms:created xsi:type="dcterms:W3CDTF">2026-04-14T10:53:02Z</dcterms:created>
  <dcterms:modified xsi:type="dcterms:W3CDTF">2026-09-25T22:26:37Z</dcterms:modified>
</cp:coreProperties>
</file>