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k000-my.sharepoint.com/personal/adrian_stark_adeptstark_com/Documents/Engineering/4thYear/MechatronicProject488/MotorModelling/"/>
    </mc:Choice>
  </mc:AlternateContent>
  <xr:revisionPtr revIDLastSave="164" documentId="8_{09601211-3D9C-4F05-91DF-05CD3BD534C6}" xr6:coauthVersionLast="47" xr6:coauthVersionMax="47" xr10:uidLastSave="{2AC64378-ECAE-4F93-8368-D66E87E5AFCF}"/>
  <bookViews>
    <workbookView xWindow="-108" yWindow="-108" windowWidth="23256" windowHeight="13896" xr2:uid="{C11BB3FC-0E69-4DB3-9FD9-60CD5436FD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23" i="1"/>
  <c r="F38" i="1" l="1"/>
</calcChain>
</file>

<file path=xl/sharedStrings.xml><?xml version="1.0" encoding="utf-8"?>
<sst xmlns="http://schemas.openxmlformats.org/spreadsheetml/2006/main" count="16" uniqueCount="14">
  <si>
    <t>Locked Rotor Test</t>
  </si>
  <si>
    <t>Voltage</t>
  </si>
  <si>
    <t>Open loop test</t>
  </si>
  <si>
    <t>Omega (wheel)</t>
  </si>
  <si>
    <t>Omega (motor)</t>
  </si>
  <si>
    <t>K_e [mV/rad/s]</t>
  </si>
  <si>
    <t>No-load Rotation</t>
  </si>
  <si>
    <t>Voltage [V]</t>
  </si>
  <si>
    <t>Current [A]</t>
  </si>
  <si>
    <t>Omega [rad/s]</t>
  </si>
  <si>
    <t>K_e [Vs/rad]</t>
  </si>
  <si>
    <t>R_a [ohm]</t>
  </si>
  <si>
    <t>Omega Motor [rad/s]</t>
  </si>
  <si>
    <t>This is bogus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</si>
</sst>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1: Locked-</a:t>
            </a:r>
            <a:r>
              <a:rPr lang="en-US" baseline="0"/>
              <a:t>r</a:t>
            </a:r>
            <a:r>
              <a:rPr lang="en-US"/>
              <a:t>otor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Locked Rotor Test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837373101608636E-3"/>
                  <c:y val="0.367785775244352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Sheet1!$B$4:$B$19</c:f>
              <c:numCache>
                <c:formatCode>General</c:formatCode>
                <c:ptCount val="16"/>
                <c:pt idx="0">
                  <c:v>0.26</c:v>
                </c:pt>
                <c:pt idx="1">
                  <c:v>0.28999999999999998</c:v>
                </c:pt>
                <c:pt idx="2">
                  <c:v>0.31</c:v>
                </c:pt>
                <c:pt idx="3">
                  <c:v>0.34</c:v>
                </c:pt>
                <c:pt idx="4">
                  <c:v>0.37</c:v>
                </c:pt>
                <c:pt idx="5">
                  <c:v>0.38</c:v>
                </c:pt>
                <c:pt idx="6">
                  <c:v>0.4</c:v>
                </c:pt>
                <c:pt idx="7">
                  <c:v>0.43</c:v>
                </c:pt>
                <c:pt idx="8">
                  <c:v>0.44</c:v>
                </c:pt>
                <c:pt idx="9">
                  <c:v>0.47</c:v>
                </c:pt>
                <c:pt idx="10">
                  <c:v>0.49</c:v>
                </c:pt>
                <c:pt idx="11">
                  <c:v>0.52</c:v>
                </c:pt>
                <c:pt idx="12">
                  <c:v>0.54</c:v>
                </c:pt>
                <c:pt idx="13">
                  <c:v>0.55000000000000004</c:v>
                </c:pt>
                <c:pt idx="14">
                  <c:v>0.59</c:v>
                </c:pt>
                <c:pt idx="15">
                  <c:v>0.62</c:v>
                </c:pt>
              </c:numCache>
            </c:numRef>
          </c:xVal>
          <c:yVal>
            <c:numRef>
              <c:f>Sheet1!$A$4:$A$19</c:f>
              <c:numCache>
                <c:formatCode>General</c:formatCode>
                <c:ptCount val="16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9-4CB1-83B8-01243B412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52912"/>
        <c:axId val="1250687440"/>
      </c:scatterChart>
      <c:valAx>
        <c:axId val="12701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Measured current</a:t>
                </a:r>
                <a:r>
                  <a:rPr lang="en-ZA" baseline="0"/>
                  <a:t> [A]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87440"/>
        <c:crosses val="autoZero"/>
        <c:crossBetween val="midCat"/>
      </c:valAx>
      <c:valAx>
        <c:axId val="12506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Applied</a:t>
                </a:r>
                <a:r>
                  <a:rPr lang="en-ZA" baseline="0"/>
                  <a:t> voltage [V]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3810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04E95-6BA7-821E-0B4F-8A7C2835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9900-73F7-46A9-B59D-77F43AAD22E2}">
  <dimension ref="A2:F38"/>
  <sheetViews>
    <sheetView tabSelected="1" workbookViewId="0">
      <selection activeCell="O10" sqref="O10"/>
    </sheetView>
  </sheetViews>
  <sheetFormatPr defaultRowHeight="14.4" x14ac:dyDescent="0.3"/>
  <cols>
    <col min="1" max="1" width="15.21875" bestFit="1" customWidth="1"/>
    <col min="2" max="3" width="13.109375" bestFit="1" customWidth="1"/>
    <col min="4" max="4" width="12.77734375" bestFit="1" customWidth="1"/>
    <col min="6" max="6" width="14.5546875" bestFit="1" customWidth="1"/>
    <col min="7" max="7" width="9.6640625" bestFit="1" customWidth="1"/>
    <col min="8" max="8" width="12.44140625" bestFit="1" customWidth="1"/>
    <col min="9" max="9" width="17.6640625" bestFit="1" customWidth="1"/>
    <col min="10" max="10" width="10.5546875" bestFit="1" customWidth="1"/>
  </cols>
  <sheetData>
    <row r="2" spans="1:4" x14ac:dyDescent="0.3">
      <c r="A2" t="s">
        <v>0</v>
      </c>
    </row>
    <row r="3" spans="1:4" x14ac:dyDescent="0.3">
      <c r="A3" t="s">
        <v>7</v>
      </c>
      <c r="B3" t="s">
        <v>8</v>
      </c>
    </row>
    <row r="4" spans="1:4" x14ac:dyDescent="0.3">
      <c r="A4">
        <v>2</v>
      </c>
      <c r="B4">
        <v>0.26</v>
      </c>
      <c r="C4">
        <f>A4/B4</f>
        <v>7.6923076923076916</v>
      </c>
      <c r="D4">
        <f>AVERAGE(C4:C19)</f>
        <v>7.9534873036948035</v>
      </c>
    </row>
    <row r="5" spans="1:4" x14ac:dyDescent="0.3">
      <c r="A5">
        <v>2.2000000000000002</v>
      </c>
      <c r="B5">
        <v>0.28999999999999998</v>
      </c>
      <c r="C5">
        <f t="shared" ref="C5:C19" si="0">A5/B5</f>
        <v>7.5862068965517251</v>
      </c>
    </row>
    <row r="6" spans="1:4" x14ac:dyDescent="0.3">
      <c r="A6">
        <v>2.4</v>
      </c>
      <c r="B6">
        <v>0.31</v>
      </c>
      <c r="C6">
        <f t="shared" si="0"/>
        <v>7.7419354838709671</v>
      </c>
    </row>
    <row r="7" spans="1:4" x14ac:dyDescent="0.3">
      <c r="A7">
        <v>2.6</v>
      </c>
      <c r="B7">
        <v>0.34</v>
      </c>
      <c r="C7">
        <f t="shared" si="0"/>
        <v>7.6470588235294112</v>
      </c>
    </row>
    <row r="8" spans="1:4" x14ac:dyDescent="0.3">
      <c r="A8">
        <v>2.8</v>
      </c>
      <c r="B8">
        <v>0.37</v>
      </c>
      <c r="C8">
        <f t="shared" si="0"/>
        <v>7.5675675675675675</v>
      </c>
    </row>
    <row r="9" spans="1:4" x14ac:dyDescent="0.3">
      <c r="A9">
        <v>3</v>
      </c>
      <c r="B9">
        <v>0.38</v>
      </c>
      <c r="C9">
        <f t="shared" si="0"/>
        <v>7.8947368421052628</v>
      </c>
    </row>
    <row r="10" spans="1:4" x14ac:dyDescent="0.3">
      <c r="A10">
        <v>3.2</v>
      </c>
      <c r="B10">
        <v>0.4</v>
      </c>
      <c r="C10">
        <f t="shared" si="0"/>
        <v>8</v>
      </c>
    </row>
    <row r="11" spans="1:4" x14ac:dyDescent="0.3">
      <c r="A11">
        <v>3.4</v>
      </c>
      <c r="B11">
        <v>0.43</v>
      </c>
      <c r="C11">
        <f t="shared" si="0"/>
        <v>7.9069767441860463</v>
      </c>
    </row>
    <row r="12" spans="1:4" x14ac:dyDescent="0.3">
      <c r="A12">
        <v>3.6</v>
      </c>
      <c r="B12">
        <v>0.44</v>
      </c>
      <c r="C12">
        <f t="shared" si="0"/>
        <v>8.1818181818181817</v>
      </c>
    </row>
    <row r="13" spans="1:4" x14ac:dyDescent="0.3">
      <c r="A13">
        <v>3.8</v>
      </c>
      <c r="B13">
        <v>0.47</v>
      </c>
      <c r="C13">
        <f t="shared" si="0"/>
        <v>8.085106382978724</v>
      </c>
    </row>
    <row r="14" spans="1:4" x14ac:dyDescent="0.3">
      <c r="A14">
        <v>4</v>
      </c>
      <c r="B14">
        <v>0.49</v>
      </c>
      <c r="C14">
        <f t="shared" si="0"/>
        <v>8.1632653061224492</v>
      </c>
    </row>
    <row r="15" spans="1:4" x14ac:dyDescent="0.3">
      <c r="A15">
        <v>4.2</v>
      </c>
      <c r="B15">
        <v>0.52</v>
      </c>
      <c r="C15">
        <f t="shared" si="0"/>
        <v>8.0769230769230766</v>
      </c>
    </row>
    <row r="16" spans="1:4" x14ac:dyDescent="0.3">
      <c r="A16">
        <v>4.4000000000000004</v>
      </c>
      <c r="B16">
        <v>0.54</v>
      </c>
      <c r="C16">
        <f t="shared" si="0"/>
        <v>8.1481481481481488</v>
      </c>
    </row>
    <row r="17" spans="1:5" x14ac:dyDescent="0.3">
      <c r="A17">
        <v>4.5999999999999996</v>
      </c>
      <c r="B17">
        <v>0.55000000000000004</v>
      </c>
      <c r="C17">
        <f t="shared" si="0"/>
        <v>8.3636363636363615</v>
      </c>
    </row>
    <row r="18" spans="1:5" x14ac:dyDescent="0.3">
      <c r="A18">
        <v>4.8</v>
      </c>
      <c r="B18">
        <v>0.59</v>
      </c>
      <c r="C18">
        <f t="shared" si="0"/>
        <v>8.1355932203389827</v>
      </c>
    </row>
    <row r="19" spans="1:5" x14ac:dyDescent="0.3">
      <c r="A19">
        <v>5</v>
      </c>
      <c r="B19">
        <v>0.62</v>
      </c>
      <c r="C19">
        <f t="shared" si="0"/>
        <v>8.064516129032258</v>
      </c>
    </row>
    <row r="21" spans="1:5" x14ac:dyDescent="0.3">
      <c r="A21" t="s">
        <v>6</v>
      </c>
      <c r="B21" t="s">
        <v>11</v>
      </c>
      <c r="C21">
        <v>8.7073</v>
      </c>
    </row>
    <row r="22" spans="1:5" x14ac:dyDescent="0.3">
      <c r="A22" t="s">
        <v>7</v>
      </c>
      <c r="B22" t="s">
        <v>8</v>
      </c>
      <c r="C22" t="s">
        <v>9</v>
      </c>
      <c r="D22" t="s">
        <v>12</v>
      </c>
      <c r="E22" t="s">
        <v>10</v>
      </c>
    </row>
    <row r="23" spans="1:5" x14ac:dyDescent="0.3">
      <c r="A23">
        <v>5</v>
      </c>
      <c r="B23">
        <v>0.09</v>
      </c>
      <c r="C23">
        <v>37.1</v>
      </c>
      <c r="D23">
        <f>C23*48</f>
        <v>1780.8000000000002</v>
      </c>
      <c r="E23">
        <f>(A23-B23*$C$21)/D23</f>
        <v>2.367667902066487E-3</v>
      </c>
    </row>
    <row r="24" spans="1:5" x14ac:dyDescent="0.3">
      <c r="A24">
        <v>4</v>
      </c>
      <c r="B24">
        <v>0.08</v>
      </c>
      <c r="C24">
        <v>29.4</v>
      </c>
      <c r="D24">
        <f t="shared" ref="D24:D38" si="1">C24*48</f>
        <v>1411.1999999999998</v>
      </c>
      <c r="E24">
        <f t="shared" ref="E23:E38" si="2">(A24-B24*$C$21)/D24</f>
        <v>2.340856009070295E-3</v>
      </c>
    </row>
    <row r="25" spans="1:5" x14ac:dyDescent="0.3">
      <c r="A25">
        <v>3</v>
      </c>
      <c r="B25">
        <v>7.0000000000000007E-2</v>
      </c>
      <c r="C25">
        <v>17.8</v>
      </c>
      <c r="D25">
        <f t="shared" si="1"/>
        <v>854.40000000000009</v>
      </c>
      <c r="E25">
        <f t="shared" si="2"/>
        <v>2.7978569756554306E-3</v>
      </c>
    </row>
    <row r="26" spans="1:5" x14ac:dyDescent="0.3">
      <c r="A26">
        <v>2</v>
      </c>
      <c r="B26">
        <v>0.06</v>
      </c>
      <c r="C26">
        <v>10.6</v>
      </c>
      <c r="D26">
        <f t="shared" si="1"/>
        <v>508.79999999999995</v>
      </c>
      <c r="E26">
        <f t="shared" si="2"/>
        <v>2.9040133647798747E-3</v>
      </c>
    </row>
    <row r="27" spans="1:5" x14ac:dyDescent="0.3">
      <c r="A27">
        <v>4.5999999999999996</v>
      </c>
      <c r="B27">
        <v>8.5000000000000006E-2</v>
      </c>
      <c r="C27">
        <v>30.5</v>
      </c>
      <c r="D27">
        <f t="shared" si="1"/>
        <v>1464</v>
      </c>
      <c r="E27">
        <f t="shared" si="2"/>
        <v>2.6365297131147537E-3</v>
      </c>
    </row>
    <row r="28" spans="1:5" x14ac:dyDescent="0.3">
      <c r="A28">
        <v>4.8</v>
      </c>
      <c r="B28">
        <v>8.5000000000000006E-2</v>
      </c>
      <c r="C28">
        <v>31.4</v>
      </c>
      <c r="D28">
        <f t="shared" si="1"/>
        <v>1507.1999999999998</v>
      </c>
      <c r="E28">
        <f t="shared" si="2"/>
        <v>2.6936567807855629E-3</v>
      </c>
    </row>
    <row r="29" spans="1:5" x14ac:dyDescent="0.3">
      <c r="A29">
        <v>4.4000000000000004</v>
      </c>
      <c r="B29">
        <v>8.1000000000000003E-2</v>
      </c>
      <c r="C29">
        <v>28.4</v>
      </c>
      <c r="D29">
        <f t="shared" si="1"/>
        <v>1363.1999999999998</v>
      </c>
      <c r="E29">
        <f t="shared" si="2"/>
        <v>2.7103203491784045E-3</v>
      </c>
    </row>
    <row r="30" spans="1:5" x14ac:dyDescent="0.3">
      <c r="A30">
        <v>4.2</v>
      </c>
      <c r="B30">
        <v>7.8E-2</v>
      </c>
      <c r="C30">
        <v>27.3</v>
      </c>
      <c r="D30">
        <f t="shared" si="1"/>
        <v>1310.4000000000001</v>
      </c>
      <c r="E30">
        <f t="shared" si="2"/>
        <v>2.6868365384615381E-3</v>
      </c>
    </row>
    <row r="31" spans="1:5" x14ac:dyDescent="0.3">
      <c r="A31">
        <v>3.8</v>
      </c>
      <c r="B31">
        <v>7.5999999999999998E-2</v>
      </c>
      <c r="C31">
        <v>23.8</v>
      </c>
      <c r="D31">
        <f t="shared" si="1"/>
        <v>1142.4000000000001</v>
      </c>
      <c r="E31">
        <f t="shared" si="2"/>
        <v>2.74706337535014E-3</v>
      </c>
    </row>
    <row r="32" spans="1:5" x14ac:dyDescent="0.3">
      <c r="A32">
        <v>3.6</v>
      </c>
      <c r="B32">
        <v>7.1999999999999995E-2</v>
      </c>
      <c r="C32">
        <v>22.4</v>
      </c>
      <c r="D32">
        <f t="shared" si="1"/>
        <v>1075.1999999999998</v>
      </c>
      <c r="E32">
        <f t="shared" si="2"/>
        <v>2.7651361607142866E-3</v>
      </c>
    </row>
    <row r="33" spans="1:6" x14ac:dyDescent="0.3">
      <c r="A33">
        <v>3.4</v>
      </c>
      <c r="B33">
        <v>6.8000000000000005E-2</v>
      </c>
      <c r="C33">
        <v>21.75</v>
      </c>
      <c r="D33">
        <f t="shared" si="1"/>
        <v>1044</v>
      </c>
      <c r="E33">
        <f t="shared" si="2"/>
        <v>2.6895628352490422E-3</v>
      </c>
    </row>
    <row r="34" spans="1:6" x14ac:dyDescent="0.3">
      <c r="A34">
        <v>3.2</v>
      </c>
      <c r="B34">
        <v>6.6000000000000003E-2</v>
      </c>
      <c r="C34">
        <v>18.2</v>
      </c>
      <c r="D34">
        <f t="shared" si="1"/>
        <v>873.59999999999991</v>
      </c>
      <c r="E34">
        <f t="shared" si="2"/>
        <v>3.0051719322344329E-3</v>
      </c>
    </row>
    <row r="35" spans="1:6" x14ac:dyDescent="0.3">
      <c r="A35">
        <v>2.8</v>
      </c>
      <c r="B35">
        <v>6.3E-2</v>
      </c>
      <c r="C35">
        <v>15.3</v>
      </c>
      <c r="D35">
        <f t="shared" si="1"/>
        <v>734.40000000000009</v>
      </c>
      <c r="E35">
        <f t="shared" si="2"/>
        <v>3.0656864106753806E-3</v>
      </c>
    </row>
    <row r="36" spans="1:6" x14ac:dyDescent="0.3">
      <c r="A36">
        <v>2.6</v>
      </c>
      <c r="B36">
        <v>6.6000000000000003E-2</v>
      </c>
      <c r="C36">
        <v>12.8</v>
      </c>
      <c r="D36">
        <f t="shared" si="1"/>
        <v>614.40000000000009</v>
      </c>
      <c r="E36">
        <f t="shared" si="2"/>
        <v>3.2964163411458329E-3</v>
      </c>
    </row>
    <row r="37" spans="1:6" x14ac:dyDescent="0.3">
      <c r="A37">
        <v>2.4</v>
      </c>
      <c r="B37">
        <v>5.8999999999999997E-2</v>
      </c>
      <c r="C37">
        <v>12.8</v>
      </c>
      <c r="D37">
        <f t="shared" si="1"/>
        <v>614.40000000000009</v>
      </c>
      <c r="E37">
        <f t="shared" si="2"/>
        <v>3.0700997721354161E-3</v>
      </c>
    </row>
    <row r="38" spans="1:6" x14ac:dyDescent="0.3">
      <c r="A38">
        <v>2.2000000000000002</v>
      </c>
      <c r="B38">
        <v>5.8000000000000003E-2</v>
      </c>
      <c r="C38">
        <v>11</v>
      </c>
      <c r="D38">
        <f t="shared" si="1"/>
        <v>528</v>
      </c>
      <c r="E38">
        <f t="shared" si="2"/>
        <v>3.2101829545454551E-3</v>
      </c>
      <c r="F38">
        <f>AVERAGE(E23:E38)</f>
        <v>2.8116910884476458E-3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C431-3C5F-43E5-A333-A4A16C08A9A8}">
  <dimension ref="A1:D12"/>
  <sheetViews>
    <sheetView workbookViewId="0">
      <selection activeCell="B4" sqref="B4"/>
    </sheetView>
  </sheetViews>
  <sheetFormatPr defaultRowHeight="14.4" x14ac:dyDescent="0.3"/>
  <sheetData>
    <row r="1" spans="1:4" x14ac:dyDescent="0.3">
      <c r="A1" t="s">
        <v>2</v>
      </c>
    </row>
    <row r="2" spans="1:4" x14ac:dyDescent="0.3">
      <c r="A2" t="s">
        <v>1</v>
      </c>
      <c r="B2" t="s">
        <v>3</v>
      </c>
      <c r="C2" t="s">
        <v>4</v>
      </c>
      <c r="D2" t="s">
        <v>5</v>
      </c>
    </row>
    <row r="3" spans="1:4" x14ac:dyDescent="0.3">
      <c r="A3">
        <v>0.27200000000000002</v>
      </c>
      <c r="B3">
        <v>22.16</v>
      </c>
      <c r="C3">
        <f t="shared" ref="C3:C11" si="0">B3*13</f>
        <v>288.08</v>
      </c>
      <c r="D3">
        <f t="shared" ref="D3:D11" si="1">A3/C3*1000</f>
        <v>0.94418217161899487</v>
      </c>
    </row>
    <row r="4" spans="1:4" x14ac:dyDescent="0.3">
      <c r="A4">
        <v>0.224</v>
      </c>
      <c r="B4">
        <v>17.18</v>
      </c>
      <c r="C4">
        <f t="shared" si="0"/>
        <v>223.34</v>
      </c>
      <c r="D4">
        <f t="shared" si="1"/>
        <v>1.0029551356675921</v>
      </c>
    </row>
    <row r="5" spans="1:4" x14ac:dyDescent="0.3">
      <c r="A5">
        <v>0.124</v>
      </c>
      <c r="B5">
        <v>8.98</v>
      </c>
      <c r="C5">
        <f t="shared" si="0"/>
        <v>116.74000000000001</v>
      </c>
      <c r="D5">
        <f t="shared" si="1"/>
        <v>1.0621894808977215</v>
      </c>
    </row>
    <row r="6" spans="1:4" x14ac:dyDescent="0.3">
      <c r="A6">
        <v>0.216</v>
      </c>
      <c r="B6">
        <v>16.559999999999999</v>
      </c>
      <c r="C6">
        <f t="shared" si="0"/>
        <v>215.27999999999997</v>
      </c>
      <c r="D6">
        <f t="shared" si="1"/>
        <v>1.0033444816053514</v>
      </c>
    </row>
    <row r="7" spans="1:4" x14ac:dyDescent="0.3">
      <c r="A7">
        <v>0.188</v>
      </c>
      <c r="B7">
        <v>14.59</v>
      </c>
      <c r="C7">
        <f t="shared" si="0"/>
        <v>189.67</v>
      </c>
      <c r="D7">
        <f t="shared" si="1"/>
        <v>0.99119523382717356</v>
      </c>
    </row>
    <row r="8" spans="1:4" x14ac:dyDescent="0.3">
      <c r="A8">
        <v>0.26400000000000001</v>
      </c>
      <c r="B8">
        <v>21.49</v>
      </c>
      <c r="C8">
        <f t="shared" si="0"/>
        <v>279.37</v>
      </c>
      <c r="D8">
        <f t="shared" si="1"/>
        <v>0.94498335540680822</v>
      </c>
    </row>
    <row r="9" spans="1:4" x14ac:dyDescent="0.3">
      <c r="A9">
        <v>0.26</v>
      </c>
      <c r="B9">
        <v>20.58</v>
      </c>
      <c r="C9">
        <f t="shared" si="0"/>
        <v>267.53999999999996</v>
      </c>
      <c r="D9">
        <f t="shared" si="1"/>
        <v>0.97181729834791075</v>
      </c>
    </row>
    <row r="10" spans="1:4" x14ac:dyDescent="0.3">
      <c r="A10">
        <v>0.312</v>
      </c>
      <c r="B10">
        <v>22.83</v>
      </c>
      <c r="C10">
        <f t="shared" si="0"/>
        <v>296.78999999999996</v>
      </c>
      <c r="D10">
        <f t="shared" si="1"/>
        <v>1.0512483574244418</v>
      </c>
    </row>
    <row r="11" spans="1:4" x14ac:dyDescent="0.3">
      <c r="A11">
        <v>0.192</v>
      </c>
      <c r="B11">
        <v>15.32</v>
      </c>
      <c r="C11">
        <f t="shared" si="0"/>
        <v>199.16</v>
      </c>
      <c r="D11">
        <f t="shared" si="1"/>
        <v>0.96404900582446285</v>
      </c>
    </row>
    <row r="12" spans="1:4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A [25855670@sun.ac.za]</dc:creator>
  <cp:lastModifiedBy>Adrian Stark</cp:lastModifiedBy>
  <dcterms:created xsi:type="dcterms:W3CDTF">2026-08-11T12:23:50Z</dcterms:created>
  <dcterms:modified xsi:type="dcterms:W3CDTF">2026-09-23T19:31:39Z</dcterms:modified>
</cp:coreProperties>
</file>