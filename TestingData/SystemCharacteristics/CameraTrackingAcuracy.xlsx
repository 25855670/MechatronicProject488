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rk000-my.sharepoint.com/personal/adrian_stark_adeptstark_com/Documents/Engineering/4thYear/MechatronicProject488/MotorModelling/"/>
    </mc:Choice>
  </mc:AlternateContent>
  <xr:revisionPtr revIDLastSave="55" documentId="8_{39D5555D-AFF3-489F-8560-859217238FEE}" xr6:coauthVersionLast="47" xr6:coauthVersionMax="47" xr10:uidLastSave="{7F04D23D-F165-4AD9-B24C-2A0342DD3373}"/>
  <bookViews>
    <workbookView xWindow="-28920" yWindow="-4065" windowWidth="29040" windowHeight="15720" xr2:uid="{C73E3892-F8E2-4327-B152-09B4427B3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9" i="1" l="1"/>
  <c r="J19" i="1"/>
  <c r="K19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4" i="1"/>
  <c r="I4" i="1"/>
  <c r="A18" i="1"/>
  <c r="A17" i="1"/>
  <c r="A13" i="1"/>
  <c r="A12" i="1"/>
  <c r="A11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4" i="1"/>
</calcChain>
</file>

<file path=xl/sharedStrings.xml><?xml version="1.0" encoding="utf-8"?>
<sst xmlns="http://schemas.openxmlformats.org/spreadsheetml/2006/main" count="14" uniqueCount="11">
  <si>
    <t>ArUco Marker Tracking Accuracy</t>
  </si>
  <si>
    <t>Measured</t>
  </si>
  <si>
    <t>Actual</t>
  </si>
  <si>
    <t>x [mm]</t>
  </si>
  <si>
    <t>y [mm]</t>
  </si>
  <si>
    <t>theta [deg]</t>
  </si>
  <si>
    <t>y offset</t>
  </si>
  <si>
    <t>x-offset</t>
  </si>
  <si>
    <t>error_x</t>
  </si>
  <si>
    <t>error_y</t>
  </si>
  <si>
    <t>error_theta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</si>
</sst>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ArUco Tracking: x &amp; y-</a:t>
            </a:r>
            <a:r>
              <a:rPr lang="en-ZA" baseline="0"/>
              <a:t>axis A</a:t>
            </a:r>
            <a:r>
              <a:rPr lang="en-ZA"/>
              <a:t>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08556184362831"/>
          <c:y val="0.18097222222222226"/>
          <c:w val="0.7992478405654293"/>
          <c:h val="0.70300392819721191"/>
        </c:manualLayout>
      </c:layout>
      <c:scatterChart>
        <c:scatterStyle val="lineMarker"/>
        <c:varyColors val="0"/>
        <c:ser>
          <c:idx val="0"/>
          <c:order val="0"/>
          <c:tx>
            <c:v>X-Axis Accuracy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9770253718285217"/>
                  <c:y val="0.175663934320197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Sheet1!$A$4:$A$18</c:f>
              <c:numCache>
                <c:formatCode>General</c:formatCode>
                <c:ptCount val="15"/>
                <c:pt idx="0">
                  <c:v>361</c:v>
                </c:pt>
                <c:pt idx="1">
                  <c:v>588</c:v>
                </c:pt>
                <c:pt idx="2">
                  <c:v>480</c:v>
                </c:pt>
                <c:pt idx="3">
                  <c:v>274</c:v>
                </c:pt>
                <c:pt idx="4">
                  <c:v>1403</c:v>
                </c:pt>
                <c:pt idx="5">
                  <c:v>1345</c:v>
                </c:pt>
                <c:pt idx="6">
                  <c:v>2237</c:v>
                </c:pt>
                <c:pt idx="7">
                  <c:v>2254</c:v>
                </c:pt>
                <c:pt idx="8">
                  <c:v>2210</c:v>
                </c:pt>
                <c:pt idx="9">
                  <c:v>1934</c:v>
                </c:pt>
                <c:pt idx="10">
                  <c:v>161</c:v>
                </c:pt>
                <c:pt idx="11">
                  <c:v>593</c:v>
                </c:pt>
                <c:pt idx="12">
                  <c:v>1408</c:v>
                </c:pt>
                <c:pt idx="13">
                  <c:v>2003</c:v>
                </c:pt>
                <c:pt idx="14">
                  <c:v>2210</c:v>
                </c:pt>
              </c:numCache>
            </c:numRef>
          </c:xVal>
          <c:yVal>
            <c:numRef>
              <c:f>Sheet1!$E$4:$E$18</c:f>
              <c:numCache>
                <c:formatCode>General</c:formatCode>
                <c:ptCount val="15"/>
                <c:pt idx="0">
                  <c:v>356</c:v>
                </c:pt>
                <c:pt idx="1">
                  <c:v>585.20000000000005</c:v>
                </c:pt>
                <c:pt idx="2">
                  <c:v>476.5</c:v>
                </c:pt>
                <c:pt idx="3">
                  <c:v>268.3</c:v>
                </c:pt>
                <c:pt idx="4">
                  <c:v>1393.4</c:v>
                </c:pt>
                <c:pt idx="5">
                  <c:v>1334.6</c:v>
                </c:pt>
                <c:pt idx="6">
                  <c:v>2216.8000000000002</c:v>
                </c:pt>
                <c:pt idx="7">
                  <c:v>2230.5</c:v>
                </c:pt>
                <c:pt idx="8">
                  <c:v>2188</c:v>
                </c:pt>
                <c:pt idx="9">
                  <c:v>1915.4</c:v>
                </c:pt>
                <c:pt idx="10">
                  <c:v>155.80000000000001</c:v>
                </c:pt>
                <c:pt idx="11">
                  <c:v>587.9</c:v>
                </c:pt>
                <c:pt idx="12">
                  <c:v>1409.2</c:v>
                </c:pt>
                <c:pt idx="13">
                  <c:v>1981.9</c:v>
                </c:pt>
                <c:pt idx="14">
                  <c:v>2187.4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A8-4E2C-8829-0297CA597F0C}"/>
            </c:ext>
          </c:extLst>
        </c:ser>
        <c:ser>
          <c:idx val="1"/>
          <c:order val="1"/>
          <c:tx>
            <c:v>y-Axis Accuracy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93241469816273"/>
                  <c:y val="0.147139947595290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Sheet1!$C$4:$C$18</c:f>
              <c:numCache>
                <c:formatCode>General</c:formatCode>
                <c:ptCount val="15"/>
                <c:pt idx="0">
                  <c:v>318</c:v>
                </c:pt>
                <c:pt idx="1">
                  <c:v>465</c:v>
                </c:pt>
                <c:pt idx="2">
                  <c:v>1198</c:v>
                </c:pt>
                <c:pt idx="3">
                  <c:v>1621</c:v>
                </c:pt>
                <c:pt idx="4">
                  <c:v>795</c:v>
                </c:pt>
                <c:pt idx="5">
                  <c:v>417</c:v>
                </c:pt>
                <c:pt idx="6">
                  <c:v>417</c:v>
                </c:pt>
                <c:pt idx="7">
                  <c:v>393</c:v>
                </c:pt>
                <c:pt idx="8">
                  <c:v>1480</c:v>
                </c:pt>
                <c:pt idx="9">
                  <c:v>1459</c:v>
                </c:pt>
                <c:pt idx="10">
                  <c:v>411</c:v>
                </c:pt>
                <c:pt idx="11">
                  <c:v>1611</c:v>
                </c:pt>
                <c:pt idx="12">
                  <c:v>704</c:v>
                </c:pt>
                <c:pt idx="13">
                  <c:v>1281</c:v>
                </c:pt>
                <c:pt idx="14">
                  <c:v>292</c:v>
                </c:pt>
              </c:numCache>
            </c:numRef>
          </c:xVal>
          <c:yVal>
            <c:numRef>
              <c:f>Sheet1!$F$4:$F$18</c:f>
              <c:numCache>
                <c:formatCode>General</c:formatCode>
                <c:ptCount val="15"/>
                <c:pt idx="0">
                  <c:v>318</c:v>
                </c:pt>
                <c:pt idx="1">
                  <c:v>468.7</c:v>
                </c:pt>
                <c:pt idx="2">
                  <c:v>1193.2</c:v>
                </c:pt>
                <c:pt idx="3">
                  <c:v>1613.7</c:v>
                </c:pt>
                <c:pt idx="4">
                  <c:v>793</c:v>
                </c:pt>
                <c:pt idx="5">
                  <c:v>418.9</c:v>
                </c:pt>
                <c:pt idx="6">
                  <c:v>419.7</c:v>
                </c:pt>
                <c:pt idx="7">
                  <c:v>396.5</c:v>
                </c:pt>
                <c:pt idx="8">
                  <c:v>1472</c:v>
                </c:pt>
                <c:pt idx="9">
                  <c:v>1449.9</c:v>
                </c:pt>
                <c:pt idx="10">
                  <c:v>410.4</c:v>
                </c:pt>
                <c:pt idx="11">
                  <c:v>1604.9</c:v>
                </c:pt>
                <c:pt idx="12">
                  <c:v>701.8</c:v>
                </c:pt>
                <c:pt idx="13">
                  <c:v>1275.4000000000001</c:v>
                </c:pt>
                <c:pt idx="14">
                  <c:v>295.60000000000002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A8-4E2C-8829-0297CA597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368879"/>
        <c:axId val="1099721967"/>
      </c:scatterChart>
      <c:valAx>
        <c:axId val="72036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Actual Distance</a:t>
                </a:r>
                <a:r>
                  <a:rPr lang="en-ZA" baseline="0"/>
                  <a:t> [mm]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721967"/>
        <c:crosses val="autoZero"/>
        <c:crossBetween val="midCat"/>
      </c:valAx>
      <c:valAx>
        <c:axId val="109972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Measured Distance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36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ArUco Tracking: Theta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90288713910762"/>
          <c:y val="0.16925989154701276"/>
          <c:w val="0.84154155730533675"/>
          <c:h val="0.71115363981549118"/>
        </c:manualLayout>
      </c:layout>
      <c:scatterChart>
        <c:scatterStyle val="lineMarker"/>
        <c:varyColors val="0"/>
        <c:ser>
          <c:idx val="0"/>
          <c:order val="0"/>
          <c:tx>
            <c:v>Theta Accuracy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072856517935258"/>
                  <c:y val="2.24067421810685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Sheet1!$D$4:$D$18</c:f>
              <c:numCache>
                <c:formatCode>General</c:formatCode>
                <c:ptCount val="15"/>
                <c:pt idx="0">
                  <c:v>45</c:v>
                </c:pt>
                <c:pt idx="1">
                  <c:v>-90</c:v>
                </c:pt>
                <c:pt idx="2">
                  <c:v>0</c:v>
                </c:pt>
                <c:pt idx="3">
                  <c:v>-163</c:v>
                </c:pt>
                <c:pt idx="4">
                  <c:v>180</c:v>
                </c:pt>
                <c:pt idx="5">
                  <c:v>120</c:v>
                </c:pt>
                <c:pt idx="6">
                  <c:v>-151</c:v>
                </c:pt>
                <c:pt idx="7">
                  <c:v>-90</c:v>
                </c:pt>
                <c:pt idx="8">
                  <c:v>-106</c:v>
                </c:pt>
                <c:pt idx="9">
                  <c:v>90</c:v>
                </c:pt>
                <c:pt idx="10">
                  <c:v>-21</c:v>
                </c:pt>
                <c:pt idx="11">
                  <c:v>135</c:v>
                </c:pt>
                <c:pt idx="12">
                  <c:v>-15</c:v>
                </c:pt>
                <c:pt idx="13">
                  <c:v>124</c:v>
                </c:pt>
                <c:pt idx="14">
                  <c:v>40</c:v>
                </c:pt>
              </c:numCache>
            </c:numRef>
          </c:xVal>
          <c:yVal>
            <c:numRef>
              <c:f>Sheet1!$G$4:$G$18</c:f>
              <c:numCache>
                <c:formatCode>General</c:formatCode>
                <c:ptCount val="15"/>
                <c:pt idx="0">
                  <c:v>43.64</c:v>
                </c:pt>
                <c:pt idx="1">
                  <c:v>-90.24</c:v>
                </c:pt>
                <c:pt idx="2">
                  <c:v>0.16</c:v>
                </c:pt>
                <c:pt idx="3">
                  <c:v>-162.81</c:v>
                </c:pt>
                <c:pt idx="4">
                  <c:v>179.25</c:v>
                </c:pt>
                <c:pt idx="5">
                  <c:v>119.73</c:v>
                </c:pt>
                <c:pt idx="6">
                  <c:v>-151.16999999999999</c:v>
                </c:pt>
                <c:pt idx="7">
                  <c:v>-89.74</c:v>
                </c:pt>
                <c:pt idx="8">
                  <c:v>-106.48</c:v>
                </c:pt>
                <c:pt idx="9">
                  <c:v>89.96</c:v>
                </c:pt>
                <c:pt idx="10">
                  <c:v>-21.32</c:v>
                </c:pt>
                <c:pt idx="11">
                  <c:v>136.01</c:v>
                </c:pt>
                <c:pt idx="12">
                  <c:v>-15.1</c:v>
                </c:pt>
                <c:pt idx="13">
                  <c:v>124.84</c:v>
                </c:pt>
                <c:pt idx="14">
                  <c:v>41.26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4C-4D13-B853-8E12144E7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014159"/>
        <c:axId val="1099782447"/>
      </c:scatterChart>
      <c:valAx>
        <c:axId val="108001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Actual</a:t>
                </a:r>
                <a:r>
                  <a:rPr lang="en-ZA" baseline="0"/>
                  <a:t> Angle [deg]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0.42227077865266849"/>
              <c:y val="0.903230987758704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782447"/>
        <c:crosses val="autoZero"/>
        <c:crossBetween val="midCat"/>
      </c:valAx>
      <c:valAx>
        <c:axId val="109978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Tracked</a:t>
                </a:r>
                <a:r>
                  <a:rPr lang="en-ZA" baseline="0"/>
                  <a:t> Angle [deg]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2.2222222222222223E-2"/>
              <c:y val="0.44090260826883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014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331718</xdr:colOff>
      <xdr:row>0</xdr:row>
      <xdr:rowOff>0</xdr:rowOff>
    </xdr:from>
    <xdr:to>
      <xdr:col>21</xdr:col>
      <xdr:colOff>238125</xdr:colOff>
      <xdr:row>15</xdr:row>
      <xdr:rowOff>88458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3AAB2C-4990-6E01-DB55-CC0075E65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400050</xdr:colOff>
      <xdr:row>16</xdr:row>
      <xdr:rowOff>110490</xdr:rowOff>
    </xdr:from>
    <xdr:to>
      <xdr:col>21</xdr:col>
      <xdr:colOff>95250</xdr:colOff>
      <xdr:row>31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2A1876-23DE-CB53-28E5-8D85DE62C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EAA5-6BA9-4AE8-919E-0DCB2FE56874}">
  <dimension ref="A1:K22"/>
  <sheetViews>
    <sheetView tabSelected="1" zoomScaleNormal="100" workbookViewId="0">
      <selection activeCell="J19" sqref="I19:J19"/>
    </sheetView>
  </sheetViews>
  <sheetFormatPr defaultRowHeight="14.4" x14ac:dyDescent="0.3"/>
  <cols>
    <col min="2" max="2" width="0" hidden="1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</row>
    <row r="2" spans="1:11" x14ac:dyDescent="0.3">
      <c r="A2" s="1" t="s">
        <v>2</v>
      </c>
      <c r="B2" s="1"/>
      <c r="C2" s="1"/>
      <c r="D2" s="1"/>
      <c r="E2" s="1" t="s">
        <v>1</v>
      </c>
      <c r="F2" s="1"/>
      <c r="G2" s="1"/>
    </row>
    <row r="3" spans="1:11" x14ac:dyDescent="0.3">
      <c r="A3" t="s">
        <v>3</v>
      </c>
      <c r="C3" t="s">
        <v>4</v>
      </c>
      <c r="D3" t="s">
        <v>5</v>
      </c>
      <c r="E3" t="s">
        <v>3</v>
      </c>
      <c r="F3" t="s">
        <v>4</v>
      </c>
      <c r="G3" t="s">
        <v>5</v>
      </c>
      <c r="I3" t="s">
        <v>8</v>
      </c>
      <c r="J3" t="s">
        <v>9</v>
      </c>
      <c r="K3" t="s">
        <v>10</v>
      </c>
    </row>
    <row r="4" spans="1:11" x14ac:dyDescent="0.3">
      <c r="A4">
        <v>361</v>
      </c>
      <c r="B4">
        <v>406</v>
      </c>
      <c r="C4">
        <f t="shared" ref="C4:C18" si="0">B4-$B$21</f>
        <v>318</v>
      </c>
      <c r="D4">
        <v>45</v>
      </c>
      <c r="E4">
        <v>356</v>
      </c>
      <c r="F4">
        <v>318</v>
      </c>
      <c r="G4">
        <v>43.64</v>
      </c>
      <c r="I4">
        <f>A4-E4</f>
        <v>5</v>
      </c>
      <c r="J4">
        <f>C4-F4</f>
        <v>0</v>
      </c>
      <c r="K4">
        <f>D4-G4</f>
        <v>1.3599999999999994</v>
      </c>
    </row>
    <row r="5" spans="1:11" x14ac:dyDescent="0.3">
      <c r="A5">
        <v>588</v>
      </c>
      <c r="B5">
        <v>553</v>
      </c>
      <c r="C5">
        <f t="shared" si="0"/>
        <v>465</v>
      </c>
      <c r="D5">
        <v>-90</v>
      </c>
      <c r="E5">
        <v>585.20000000000005</v>
      </c>
      <c r="F5">
        <v>468.7</v>
      </c>
      <c r="G5">
        <v>-90.24</v>
      </c>
      <c r="I5">
        <f t="shared" ref="I5:I18" si="1">A5-E5</f>
        <v>2.7999999999999545</v>
      </c>
      <c r="J5">
        <f t="shared" ref="J5:J18" si="2">C5-F5</f>
        <v>-3.6999999999999886</v>
      </c>
      <c r="K5">
        <f t="shared" ref="K5:K18" si="3">D5-G5</f>
        <v>0.23999999999999488</v>
      </c>
    </row>
    <row r="6" spans="1:11" x14ac:dyDescent="0.3">
      <c r="A6">
        <v>480</v>
      </c>
      <c r="B6">
        <v>1286</v>
      </c>
      <c r="C6">
        <f t="shared" si="0"/>
        <v>1198</v>
      </c>
      <c r="D6">
        <v>0</v>
      </c>
      <c r="E6">
        <v>476.5</v>
      </c>
      <c r="F6">
        <v>1193.2</v>
      </c>
      <c r="G6">
        <v>0.16</v>
      </c>
      <c r="I6">
        <f t="shared" si="1"/>
        <v>3.5</v>
      </c>
      <c r="J6">
        <f t="shared" si="2"/>
        <v>4.7999999999999545</v>
      </c>
      <c r="K6">
        <f t="shared" si="3"/>
        <v>-0.16</v>
      </c>
    </row>
    <row r="7" spans="1:11" x14ac:dyDescent="0.3">
      <c r="A7">
        <v>274</v>
      </c>
      <c r="B7">
        <v>1709</v>
      </c>
      <c r="C7">
        <f t="shared" si="0"/>
        <v>1621</v>
      </c>
      <c r="D7">
        <v>-163</v>
      </c>
      <c r="E7">
        <v>268.3</v>
      </c>
      <c r="F7">
        <v>1613.7</v>
      </c>
      <c r="G7">
        <v>-162.81</v>
      </c>
      <c r="I7">
        <f t="shared" si="1"/>
        <v>5.6999999999999886</v>
      </c>
      <c r="J7">
        <f t="shared" si="2"/>
        <v>7.2999999999999545</v>
      </c>
      <c r="K7">
        <f t="shared" si="3"/>
        <v>-0.18999999999999773</v>
      </c>
    </row>
    <row r="8" spans="1:11" x14ac:dyDescent="0.3">
      <c r="A8">
        <v>1403</v>
      </c>
      <c r="B8">
        <v>883</v>
      </c>
      <c r="C8">
        <f t="shared" si="0"/>
        <v>795</v>
      </c>
      <c r="D8">
        <v>180</v>
      </c>
      <c r="E8">
        <v>1393.4</v>
      </c>
      <c r="F8">
        <v>793</v>
      </c>
      <c r="G8">
        <v>179.25</v>
      </c>
      <c r="I8">
        <f t="shared" si="1"/>
        <v>9.5999999999999091</v>
      </c>
      <c r="J8">
        <f t="shared" si="2"/>
        <v>2</v>
      </c>
      <c r="K8">
        <f t="shared" si="3"/>
        <v>0.75</v>
      </c>
    </row>
    <row r="9" spans="1:11" x14ac:dyDescent="0.3">
      <c r="A9">
        <v>1345</v>
      </c>
      <c r="B9">
        <v>505</v>
      </c>
      <c r="C9">
        <f t="shared" si="0"/>
        <v>417</v>
      </c>
      <c r="D9">
        <v>120</v>
      </c>
      <c r="E9">
        <v>1334.6</v>
      </c>
      <c r="F9">
        <v>418.9</v>
      </c>
      <c r="G9">
        <v>119.73</v>
      </c>
      <c r="I9">
        <f t="shared" si="1"/>
        <v>10.400000000000091</v>
      </c>
      <c r="J9">
        <f t="shared" si="2"/>
        <v>-1.8999999999999773</v>
      </c>
      <c r="K9">
        <f t="shared" si="3"/>
        <v>0.26999999999999602</v>
      </c>
    </row>
    <row r="10" spans="1:11" x14ac:dyDescent="0.3">
      <c r="A10">
        <v>2237</v>
      </c>
      <c r="B10">
        <v>505</v>
      </c>
      <c r="C10">
        <f t="shared" si="0"/>
        <v>417</v>
      </c>
      <c r="D10">
        <v>-151</v>
      </c>
      <c r="E10">
        <v>2216.8000000000002</v>
      </c>
      <c r="F10">
        <v>419.7</v>
      </c>
      <c r="G10">
        <v>-151.16999999999999</v>
      </c>
      <c r="I10">
        <f t="shared" si="1"/>
        <v>20.199999999999818</v>
      </c>
      <c r="J10">
        <f t="shared" si="2"/>
        <v>-2.6999999999999886</v>
      </c>
      <c r="K10">
        <f t="shared" si="3"/>
        <v>0.16999999999998749</v>
      </c>
    </row>
    <row r="11" spans="1:11" x14ac:dyDescent="0.3">
      <c r="A11">
        <f>B22-174</f>
        <v>2254</v>
      </c>
      <c r="B11">
        <v>481</v>
      </c>
      <c r="C11">
        <f t="shared" si="0"/>
        <v>393</v>
      </c>
      <c r="D11">
        <v>-90</v>
      </c>
      <c r="E11">
        <v>2230.5</v>
      </c>
      <c r="F11">
        <v>396.5</v>
      </c>
      <c r="G11">
        <v>-89.74</v>
      </c>
      <c r="I11">
        <f t="shared" si="1"/>
        <v>23.5</v>
      </c>
      <c r="J11">
        <f t="shared" si="2"/>
        <v>-3.5</v>
      </c>
      <c r="K11">
        <f t="shared" si="3"/>
        <v>-0.26000000000000512</v>
      </c>
    </row>
    <row r="12" spans="1:11" x14ac:dyDescent="0.3">
      <c r="A12">
        <f>B22-218</f>
        <v>2210</v>
      </c>
      <c r="B12">
        <v>1568</v>
      </c>
      <c r="C12">
        <f t="shared" si="0"/>
        <v>1480</v>
      </c>
      <c r="D12">
        <v>-106</v>
      </c>
      <c r="E12">
        <v>2188</v>
      </c>
      <c r="F12">
        <v>1472</v>
      </c>
      <c r="G12">
        <v>-106.48</v>
      </c>
      <c r="I12">
        <f t="shared" si="1"/>
        <v>22</v>
      </c>
      <c r="J12">
        <f t="shared" si="2"/>
        <v>8</v>
      </c>
      <c r="K12">
        <f t="shared" si="3"/>
        <v>0.48000000000000398</v>
      </c>
    </row>
    <row r="13" spans="1:11" x14ac:dyDescent="0.3">
      <c r="A13">
        <f>B22-494</f>
        <v>1934</v>
      </c>
      <c r="B13">
        <v>1547</v>
      </c>
      <c r="C13">
        <f t="shared" si="0"/>
        <v>1459</v>
      </c>
      <c r="D13">
        <v>90</v>
      </c>
      <c r="E13">
        <v>1915.4</v>
      </c>
      <c r="F13">
        <v>1449.9</v>
      </c>
      <c r="G13">
        <v>89.96</v>
      </c>
      <c r="I13">
        <f t="shared" si="1"/>
        <v>18.599999999999909</v>
      </c>
      <c r="J13">
        <f t="shared" si="2"/>
        <v>9.0999999999999091</v>
      </c>
      <c r="K13">
        <f t="shared" si="3"/>
        <v>4.0000000000006253E-2</v>
      </c>
    </row>
    <row r="14" spans="1:11" x14ac:dyDescent="0.3">
      <c r="A14">
        <v>161</v>
      </c>
      <c r="B14">
        <v>499</v>
      </c>
      <c r="C14">
        <f t="shared" si="0"/>
        <v>411</v>
      </c>
      <c r="D14">
        <v>-21</v>
      </c>
      <c r="E14">
        <v>155.80000000000001</v>
      </c>
      <c r="F14">
        <v>410.4</v>
      </c>
      <c r="G14">
        <v>-21.32</v>
      </c>
      <c r="I14">
        <f t="shared" si="1"/>
        <v>5.1999999999999886</v>
      </c>
      <c r="J14">
        <f t="shared" si="2"/>
        <v>0.60000000000002274</v>
      </c>
      <c r="K14">
        <f t="shared" si="3"/>
        <v>0.32000000000000028</v>
      </c>
    </row>
    <row r="15" spans="1:11" x14ac:dyDescent="0.3">
      <c r="A15">
        <v>593</v>
      </c>
      <c r="B15">
        <v>1699</v>
      </c>
      <c r="C15">
        <f t="shared" si="0"/>
        <v>1611</v>
      </c>
      <c r="D15">
        <v>135</v>
      </c>
      <c r="E15">
        <v>587.9</v>
      </c>
      <c r="F15">
        <v>1604.9</v>
      </c>
      <c r="G15">
        <v>136.01</v>
      </c>
      <c r="I15">
        <f t="shared" si="1"/>
        <v>5.1000000000000227</v>
      </c>
      <c r="J15">
        <f t="shared" si="2"/>
        <v>6.0999999999999091</v>
      </c>
      <c r="K15">
        <f t="shared" si="3"/>
        <v>-1.0099999999999909</v>
      </c>
    </row>
    <row r="16" spans="1:11" x14ac:dyDescent="0.3">
      <c r="A16">
        <v>1408</v>
      </c>
      <c r="B16">
        <v>792</v>
      </c>
      <c r="C16">
        <f t="shared" si="0"/>
        <v>704</v>
      </c>
      <c r="D16">
        <v>-15</v>
      </c>
      <c r="E16">
        <v>1409.2</v>
      </c>
      <c r="F16">
        <v>701.8</v>
      </c>
      <c r="G16">
        <v>-15.1</v>
      </c>
      <c r="I16">
        <f t="shared" si="1"/>
        <v>-1.2000000000000455</v>
      </c>
      <c r="J16">
        <f t="shared" si="2"/>
        <v>2.2000000000000455</v>
      </c>
      <c r="K16">
        <f t="shared" si="3"/>
        <v>9.9999999999999645E-2</v>
      </c>
    </row>
    <row r="17" spans="1:11" x14ac:dyDescent="0.3">
      <c r="A17">
        <f>B22-425</f>
        <v>2003</v>
      </c>
      <c r="B17">
        <v>1369</v>
      </c>
      <c r="C17">
        <f t="shared" si="0"/>
        <v>1281</v>
      </c>
      <c r="D17">
        <v>124</v>
      </c>
      <c r="E17">
        <v>1981.9</v>
      </c>
      <c r="F17">
        <v>1275.4000000000001</v>
      </c>
      <c r="G17">
        <v>124.84</v>
      </c>
      <c r="I17">
        <f t="shared" si="1"/>
        <v>21.099999999999909</v>
      </c>
      <c r="J17">
        <f t="shared" si="2"/>
        <v>5.5999999999999091</v>
      </c>
      <c r="K17">
        <f t="shared" si="3"/>
        <v>-0.84000000000000341</v>
      </c>
    </row>
    <row r="18" spans="1:11" x14ac:dyDescent="0.3">
      <c r="A18">
        <f>B22-218</f>
        <v>2210</v>
      </c>
      <c r="B18">
        <v>380</v>
      </c>
      <c r="C18">
        <f t="shared" si="0"/>
        <v>292</v>
      </c>
      <c r="D18">
        <v>40</v>
      </c>
      <c r="E18">
        <v>2187.4</v>
      </c>
      <c r="F18">
        <v>295.60000000000002</v>
      </c>
      <c r="G18">
        <v>41.26</v>
      </c>
      <c r="I18">
        <f t="shared" si="1"/>
        <v>22.599999999999909</v>
      </c>
      <c r="J18">
        <f t="shared" si="2"/>
        <v>-3.6000000000000227</v>
      </c>
      <c r="K18">
        <f t="shared" si="3"/>
        <v>-1.259999999999998</v>
      </c>
    </row>
    <row r="19" spans="1:11" x14ac:dyDescent="0.3">
      <c r="I19">
        <f t="shared" ref="I19:K19" si="4">AVERAGE(I4:I18)</f>
        <v>11.60666666666663</v>
      </c>
      <c r="J19">
        <f t="shared" si="4"/>
        <v>2.0199999999999818</v>
      </c>
      <c r="K19">
        <f t="shared" si="4"/>
        <v>6.6666666666617875E-4</v>
      </c>
    </row>
    <row r="21" spans="1:11" x14ac:dyDescent="0.3">
      <c r="A21" t="s">
        <v>6</v>
      </c>
      <c r="B21">
        <v>88</v>
      </c>
    </row>
    <row r="22" spans="1:11" x14ac:dyDescent="0.3">
      <c r="A22" t="s">
        <v>7</v>
      </c>
      <c r="B22">
        <v>2428</v>
      </c>
    </row>
  </sheetData>
  <mergeCells count="3">
    <mergeCell ref="E2:G2"/>
    <mergeCell ref="A1:G1"/>
    <mergeCell ref="A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Stark</dc:creator>
  <cp:lastModifiedBy>Adrian Stark</cp:lastModifiedBy>
  <dcterms:created xsi:type="dcterms:W3CDTF">2026-09-21T14:16:02Z</dcterms:created>
  <dcterms:modified xsi:type="dcterms:W3CDTF">2026-10-13T20:13:07Z</dcterms:modified>
</cp:coreProperties>
</file>